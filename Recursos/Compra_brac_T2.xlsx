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iera2\Documents\Curs 2627 1 Batx Robotica\Recursos\"/>
    </mc:Choice>
  </mc:AlternateContent>
  <xr:revisionPtr revIDLastSave="0" documentId="13_ncr:1_{74EFE468-059F-478D-B2C3-5C7973ABED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 A (3 servos)" sheetId="1" r:id="rId1"/>
    <sheet name="Pla B MeArm (extra)" sheetId="2" r:id="rId2"/>
    <sheet name="Resum" sheetId="3" r:id="rId3"/>
  </sheets>
  <definedNames>
    <definedName name="_xlnm._FilterDatabase" localSheetId="0" hidden="1">'Pla A (3 servos)'!$A$5:$L$22</definedName>
    <definedName name="_xlnm._FilterDatabase" localSheetId="1" hidden="1">'Pla B MeArm (extra)'!$A$5:$L$8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2" l="1"/>
  <c r="I8" i="2" s="1"/>
  <c r="E7" i="2"/>
  <c r="I7" i="2" s="1"/>
  <c r="E6" i="2"/>
  <c r="I6" i="2" s="1"/>
  <c r="I9" i="2" s="1"/>
  <c r="C3" i="3" s="1"/>
  <c r="E22" i="1"/>
  <c r="I22" i="1" s="1"/>
  <c r="E21" i="1"/>
  <c r="I21" i="1" s="1"/>
  <c r="H20" i="1"/>
  <c r="E20" i="1"/>
  <c r="I20" i="1" s="1"/>
  <c r="E19" i="1"/>
  <c r="I19" i="1" s="1"/>
  <c r="E18" i="1"/>
  <c r="I18" i="1" s="1"/>
  <c r="E17" i="1"/>
  <c r="H17" i="1" s="1"/>
  <c r="I16" i="1"/>
  <c r="H16" i="1"/>
  <c r="E16" i="1"/>
  <c r="E15" i="1"/>
  <c r="I15" i="1" s="1"/>
  <c r="E14" i="1"/>
  <c r="I14" i="1" s="1"/>
  <c r="I13" i="1"/>
  <c r="E13" i="1"/>
  <c r="H13" i="1" s="1"/>
  <c r="E12" i="1"/>
  <c r="I12" i="1" s="1"/>
  <c r="E11" i="1"/>
  <c r="I11" i="1" s="1"/>
  <c r="E10" i="1"/>
  <c r="I10" i="1" s="1"/>
  <c r="E9" i="1"/>
  <c r="H9" i="1" s="1"/>
  <c r="I8" i="1"/>
  <c r="H8" i="1"/>
  <c r="E8" i="1"/>
  <c r="E7" i="1"/>
  <c r="I7" i="1" s="1"/>
  <c r="E6" i="1"/>
  <c r="I6" i="1" s="1"/>
  <c r="H11" i="1" l="1"/>
  <c r="H19" i="1"/>
  <c r="H6" i="1"/>
  <c r="I9" i="1"/>
  <c r="I23" i="1" s="1"/>
  <c r="C2" i="3" s="1"/>
  <c r="C4" i="3" s="1"/>
  <c r="H12" i="1"/>
  <c r="I17" i="1"/>
  <c r="H7" i="1"/>
  <c r="H15" i="1"/>
  <c r="H10" i="1"/>
  <c r="H18" i="1"/>
  <c r="H21" i="1"/>
  <c r="H6" i="2"/>
  <c r="H22" i="1"/>
  <c r="H7" i="2"/>
  <c r="H14" i="1"/>
  <c r="H8" i="2"/>
  <c r="H9" i="2" l="1"/>
  <c r="B3" i="3" s="1"/>
  <c r="H23" i="1"/>
  <c r="B2" i="3" s="1"/>
  <c r="B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D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 consta a l'inventari 09c: comprova-ho al departament.</t>
        </r>
      </text>
    </comment>
    <comment ref="D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No consta a l'inventari 09c: comprova-ho al departament.</t>
        </r>
      </text>
    </comment>
    <comment ref="D1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 consta a l'inventari 09c: comprova-ho al departament.</t>
        </r>
      </text>
    </comment>
    <comment ref="D1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 consta a l'inventari 09c: comprova-ho al departament.</t>
        </r>
      </text>
    </comment>
    <comment ref="D1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 consta a l'inventari 09c: comprova-ho al departament.</t>
        </r>
      </text>
    </comment>
    <comment ref="D2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 consta a l'inventari 09c: comprova-ho al departament.</t>
        </r>
      </text>
    </comment>
    <comment ref="D2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No consta a l'inventari 09c: comprova-ho al departament.</t>
        </r>
      </text>
    </comment>
    <comment ref="D2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No consta a l'inventari 09c: comprova-ho al departament.</t>
        </r>
      </text>
    </comment>
  </commentList>
</comments>
</file>

<file path=xl/sharedStrings.xml><?xml version="1.0" encoding="utf-8"?>
<sst xmlns="http://schemas.openxmlformats.org/spreadsheetml/2006/main" count="125" uniqueCount="101">
  <si>
    <t>Braç robòtic T2 · Material (pla actual, 3 servos)</t>
  </si>
  <si>
    <t>Font: 00_Projecte_T2_Brac.md + 09c_Inventari_kits_disponibles.md · 5 alumnes</t>
  </si>
  <si>
    <t>Llegenda: cel·les GROGUES = quantitat que tinc per comprovar (omple-la) · text BLAU = dades editables · negre = fórmules</t>
  </si>
  <si>
    <t>Material</t>
  </si>
  <si>
    <t>Descripció</t>
  </si>
  <si>
    <t>Necessari</t>
  </si>
  <si>
    <t>Tinc</t>
  </si>
  <si>
    <t>Falten</t>
  </si>
  <si>
    <t>Preu unit. mín. (€)</t>
  </si>
  <si>
    <t>Preu unit. màx. (€)</t>
  </si>
  <si>
    <t>Cost mín. (€)</t>
  </si>
  <si>
    <t>Cost màx. (€)</t>
  </si>
  <si>
    <t>On comprar-ho</t>
  </si>
  <si>
    <t>Adreça web</t>
  </si>
  <si>
    <t>Notes</t>
  </si>
  <si>
    <t>Arduino UNO + breadboard + cables dupont</t>
  </si>
  <si>
    <t>Cervell del braç tot el trimestre</t>
  </si>
  <si>
    <t>Kit 1 (ja al centre)</t>
  </si>
  <si>
    <t>Servo Starter</t>
  </si>
  <si>
    <t>Articulació de la base</t>
  </si>
  <si>
    <t>Micro servo KS0194</t>
  </si>
  <si>
    <t>Colze i pinça (2 per kit)</t>
  </si>
  <si>
    <t>Kit 2 (ja al centre)</t>
  </si>
  <si>
    <t>Potenciòmetre 10 kΩ</t>
  </si>
  <si>
    <t>Control manual (SA4); el Kit 1 en porta 3</t>
  </si>
  <si>
    <t>Sensor de col·lisió KS0021</t>
  </si>
  <si>
    <t>Final de carrera / emergència (SA6)</t>
  </si>
  <si>
    <t>micro:bit V2</t>
  </si>
  <si>
    <t>2 per alumne: pont + comandament per ràdio</t>
  </si>
  <si>
    <t>Kubii / BricoGeek / Amazon</t>
  </si>
  <si>
    <t>https://www.amazon.es/s?k=microbit+v2</t>
  </si>
  <si>
    <t>Alternativa: comandament compartit per torns (però R4 és individual)</t>
  </si>
  <si>
    <t>Portapiles 2×AAA per a micro:bit</t>
  </si>
  <si>
    <t>Alimentar el comandament de mà sense cable</t>
  </si>
  <si>
    <t>Amazon / BricoGeek</t>
  </si>
  <si>
    <t>https://www.amazon.es/s?k=portapilas+microbit</t>
  </si>
  <si>
    <t>Comprovar si en venen amb les micro:bit del centre</t>
  </si>
  <si>
    <t>Piles AAA</t>
  </si>
  <si>
    <t>2 per comandament</t>
  </si>
  <si>
    <t>Amazon / Leroy Merlin</t>
  </si>
  <si>
    <t>https://www.amazon.es/s?k=pilas+AAA+recargables</t>
  </si>
  <si>
    <t>Portapiles 4×AA (6 V) amb interruptor</t>
  </si>
  <si>
    <t>Alimentació externa comuna dels servos</t>
  </si>
  <si>
    <t>Amazon / AliExpress</t>
  </si>
  <si>
    <t>https://www.amazon.es/s?k=portapilas+4xAA+interruptor</t>
  </si>
  <si>
    <t>MAI el de 6×AA (9 V): crema els servos. 5 + 1 de reserva</t>
  </si>
  <si>
    <t>Piles AA recarregables</t>
  </si>
  <si>
    <t>4 per braç</t>
  </si>
  <si>
    <t>https://www.amazon.es/s?k=pilas+AA+recargables</t>
  </si>
  <si>
    <t>El centre en té: comptar-les</t>
  </si>
  <si>
    <t>Cable cocodril a mascle (dupont)</t>
  </si>
  <si>
    <t>Pont micro:bit (P1, GND) → Arduino (D0, GND)</t>
  </si>
  <si>
    <t>https://www.amazon.es/s?k=cable+cocodrilo+dupont+macho</t>
  </si>
  <si>
    <t>Preu unitari dins un paquet de 10-20</t>
  </si>
  <si>
    <t>Allargador de servo 20-30 cm</t>
  </si>
  <si>
    <t>Que els cables del colze i la pinça arribin a la breadboard</t>
  </si>
  <si>
    <t>https://www.amazon.es/s?k=cable+extension+servo</t>
  </si>
  <si>
    <t>Preu unitari dins un paquet de 10</t>
  </si>
  <si>
    <t>Tauler DM 3 mm (60×40)</t>
  </si>
  <si>
    <t>Estructura, tall làser xTool S1</t>
  </si>
  <si>
    <t>Leroy Merlin / Bricomart / fusteria</t>
  </si>
  <si>
    <t>https://www.leroymerlin.es/</t>
  </si>
  <si>
    <t>5 braços + prototip + recanvis</t>
  </si>
  <si>
    <t>Filament PLA</t>
  </si>
  <si>
    <t>Dits de la pinça (dit_pinca.scad); només amb brac.svg</t>
  </si>
  <si>
    <t>Bambu Lab Store / Amazon</t>
  </si>
  <si>
    <t>https://eu.store.bambulab.com/</t>
  </si>
  <si>
    <t>Bobina en curs; amb el MeArm no cal</t>
  </si>
  <si>
    <t>Assortiment cargols M2/M3 + femelles</t>
  </si>
  <si>
    <t>Fixar servos, casquets i articulacions</t>
  </si>
  <si>
    <t>Amazon / ferreteria</t>
  </si>
  <si>
    <t>https://www.amazon.es/s?k=kit+tornillos+M3+M2</t>
  </si>
  <si>
    <t>Brides petites + etiquetes</t>
  </si>
  <si>
    <t>Cablatge endreçat i etiquetat (criteri R1)</t>
  </si>
  <si>
    <t>https://www.amazon.es/s?k=bridas+pequenas</t>
  </si>
  <si>
    <t>Caixa d'emmagatzematge amb nom</t>
  </si>
  <si>
    <t>El braç viu a la caixa entre sessions</t>
  </si>
  <si>
    <t>Leroy Merlin / IKEA / basars</t>
  </si>
  <si>
    <t>TOTAL</t>
  </si>
  <si>
    <t>Preus orientatius (coneixement fins al juny 2026, no consultats en directe). Adreces web = cerques a la botiga. Quantitats per a 5 alumnes, un braç cadascú.</t>
  </si>
  <si>
    <t>Braç robòtic T2 · Extra si s'adopta el MeArm V1.1 (4 servos)</t>
  </si>
  <si>
    <t>Se suma al pla A · decisió pendent del prototip de desembre</t>
  </si>
  <si>
    <t>Servo MG90S (engranatges metàl·lics)</t>
  </si>
  <si>
    <t>Espatlla i colze del MeArm (≈2,2 kg·cm); 4t servo</t>
  </si>
  <si>
    <t>Amazon / AliExpress / BricoGeek</t>
  </si>
  <si>
    <t>https://www.amazon.es/s?k=MG90S</t>
  </si>
  <si>
    <t>2 per alumne + 2 de reserva. AliExpress ~1,5-2,5 €; Amazon ~3-4 €</t>
  </si>
  <si>
    <t>Potenciòmetre 10 kΩ extra</t>
  </si>
  <si>
    <t>4t eix en mode manual</t>
  </si>
  <si>
    <t>https://www.amazon.es/s?k=potenciometro+10k</t>
  </si>
  <si>
    <t>Assortiment M3 6-20 mm</t>
  </si>
  <si>
    <t>El MeArm usa moltes longituds de cargol</t>
  </si>
  <si>
    <t>Amazon</t>
  </si>
  <si>
    <t>https://www.amazon.es/s?k=kit+tornillos+M3</t>
  </si>
  <si>
    <t>Substitueix l'assortiment del pla A (resta'l allà si el compres)</t>
  </si>
  <si>
    <t>Concepte</t>
  </si>
  <si>
    <t>Mín. (€)</t>
  </si>
  <si>
    <t>Màx. (€)</t>
  </si>
  <si>
    <t>Pla A (3 servos)</t>
  </si>
  <si>
    <t>Extra MeArm</t>
  </si>
  <si>
    <t>Total amb MeArm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</si>
</sst>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;\-#,##0.00\ \€;&quot;-&quot;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name val="Arial"/>
    </font>
    <font>
      <sz val="9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name val="Arial"/>
    </font>
    <font>
      <u/>
      <sz val="11"/>
      <color rgb="FF0563C1"/>
      <name val="Arial"/>
    </font>
    <font>
      <b/>
      <sz val="11"/>
      <name val="Arial"/>
    </font>
    <font>
      <i/>
      <sz val="9"/>
      <name val="Arial"/>
    </font>
    <font>
      <sz val="11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164" fontId="5" fillId="3" borderId="1" xfId="0" applyNumberFormat="1" applyFont="1" applyFill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8" fillId="0" borderId="0" xfId="0" applyFont="1"/>
    <xf numFmtId="164" fontId="8" fillId="0" borderId="1" xfId="0" applyNumberFormat="1" applyFont="1" applyBorder="1"/>
    <xf numFmtId="0" fontId="9" fillId="0" borderId="0" xfId="0" applyFont="1"/>
    <xf numFmtId="0" fontId="4" fillId="2" borderId="0" xfId="0" applyFont="1" applyFill="1"/>
    <xf numFmtId="0" fontId="6" fillId="0" borderId="0" xfId="0" applyFont="1"/>
    <xf numFmtId="164" fontId="10" fillId="0" borderId="0" xfId="0" applyNumberFormat="1" applyFont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roymerlin.es/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www.amazon.es/s?k=pilas+AAA+recargables" TargetMode="External"/><Relationship Id="rId7" Type="http://schemas.openxmlformats.org/officeDocument/2006/relationships/hyperlink" Target="https://www.amazon.es/s?k=cable+extension+servo" TargetMode="External"/><Relationship Id="rId12" Type="http://schemas.openxmlformats.org/officeDocument/2006/relationships/hyperlink" Target="https://www.leroymerlin.es/" TargetMode="External"/><Relationship Id="rId2" Type="http://schemas.openxmlformats.org/officeDocument/2006/relationships/hyperlink" Target="https://www.amazon.es/s?k=portapilas+microbit" TargetMode="External"/><Relationship Id="rId1" Type="http://schemas.openxmlformats.org/officeDocument/2006/relationships/hyperlink" Target="https://www.amazon.es/s?k=microbit+v2" TargetMode="External"/><Relationship Id="rId6" Type="http://schemas.openxmlformats.org/officeDocument/2006/relationships/hyperlink" Target="https://www.amazon.es/s?k=cable+cocodrilo+dupont+macho" TargetMode="External"/><Relationship Id="rId11" Type="http://schemas.openxmlformats.org/officeDocument/2006/relationships/hyperlink" Target="https://www.amazon.es/s?k=bridas+pequenas" TargetMode="External"/><Relationship Id="rId5" Type="http://schemas.openxmlformats.org/officeDocument/2006/relationships/hyperlink" Target="https://www.amazon.es/s?k=pilas+AA+recargables" TargetMode="External"/><Relationship Id="rId10" Type="http://schemas.openxmlformats.org/officeDocument/2006/relationships/hyperlink" Target="https://www.amazon.es/s?k=kit+tornillos+M3+M2" TargetMode="External"/><Relationship Id="rId4" Type="http://schemas.openxmlformats.org/officeDocument/2006/relationships/hyperlink" Target="https://www.amazon.es/s?k=portapilas+4xAA+interruptor" TargetMode="External"/><Relationship Id="rId9" Type="http://schemas.openxmlformats.org/officeDocument/2006/relationships/hyperlink" Target="https://eu.store.bambulab.com/" TargetMode="Externa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es/s?k=kit+tornillos+M3" TargetMode="External"/><Relationship Id="rId2" Type="http://schemas.openxmlformats.org/officeDocument/2006/relationships/hyperlink" Target="https://www.amazon.es/s?k=potenciometro+10k" TargetMode="External"/><Relationship Id="rId1" Type="http://schemas.openxmlformats.org/officeDocument/2006/relationships/hyperlink" Target="https://www.amazon.es/s?k=MG9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C2" sqref="C2"/>
    </sheetView>
  </sheetViews>
  <sheetFormatPr baseColWidth="10" defaultColWidth="8.88671875" defaultRowHeight="14.4" x14ac:dyDescent="0.3"/>
  <cols>
    <col min="1" max="1" width="34" customWidth="1"/>
    <col min="2" max="2" width="48" customWidth="1"/>
    <col min="3" max="3" width="11" customWidth="1"/>
    <col min="4" max="5" width="9" customWidth="1"/>
    <col min="6" max="7" width="13" customWidth="1"/>
    <col min="8" max="9" width="12" customWidth="1"/>
    <col min="10" max="10" width="26" customWidth="1"/>
    <col min="11" max="11" width="46" customWidth="1"/>
    <col min="12" max="12" width="44" customWidth="1"/>
  </cols>
  <sheetData>
    <row r="1" spans="1:12" ht="17.399999999999999" customHeight="1" x14ac:dyDescent="0.3">
      <c r="A1" s="1" t="s">
        <v>0</v>
      </c>
    </row>
    <row r="2" spans="1:12" x14ac:dyDescent="0.3">
      <c r="A2" s="2" t="s">
        <v>1</v>
      </c>
    </row>
    <row r="3" spans="1:12" x14ac:dyDescent="0.3">
      <c r="A3" s="3" t="s">
        <v>2</v>
      </c>
    </row>
    <row r="5" spans="1:12" ht="31.95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ht="27.6" x14ac:dyDescent="0.3">
      <c r="A6" s="5" t="s">
        <v>15</v>
      </c>
      <c r="B6" s="5" t="s">
        <v>16</v>
      </c>
      <c r="C6" s="6">
        <v>5</v>
      </c>
      <c r="D6" s="6">
        <v>5</v>
      </c>
      <c r="E6" s="7">
        <f t="shared" ref="E6:E22" si="0">MAX(0,C6-N(D6))</f>
        <v>0</v>
      </c>
      <c r="F6" s="8"/>
      <c r="G6" s="8"/>
      <c r="H6" s="9">
        <f t="shared" ref="H6:H22" si="1">E6*N(F6)</f>
        <v>0</v>
      </c>
      <c r="I6" s="9">
        <f t="shared" ref="I6:I22" si="2">E6*N(G6)</f>
        <v>0</v>
      </c>
      <c r="J6" s="5" t="s">
        <v>17</v>
      </c>
      <c r="K6" s="6"/>
      <c r="L6" s="5"/>
    </row>
    <row r="7" spans="1:12" x14ac:dyDescent="0.3">
      <c r="A7" s="5" t="s">
        <v>18</v>
      </c>
      <c r="B7" s="5" t="s">
        <v>19</v>
      </c>
      <c r="C7" s="6">
        <v>5</v>
      </c>
      <c r="D7" s="6">
        <v>5</v>
      </c>
      <c r="E7" s="7">
        <f t="shared" si="0"/>
        <v>0</v>
      </c>
      <c r="F7" s="8"/>
      <c r="G7" s="8"/>
      <c r="H7" s="9">
        <f t="shared" si="1"/>
        <v>0</v>
      </c>
      <c r="I7" s="9">
        <f t="shared" si="2"/>
        <v>0</v>
      </c>
      <c r="J7" s="5" t="s">
        <v>17</v>
      </c>
      <c r="K7" s="6"/>
      <c r="L7" s="5"/>
    </row>
    <row r="8" spans="1:12" x14ac:dyDescent="0.3">
      <c r="A8" s="5" t="s">
        <v>20</v>
      </c>
      <c r="B8" s="5" t="s">
        <v>21</v>
      </c>
      <c r="C8" s="6">
        <v>10</v>
      </c>
      <c r="D8" s="6">
        <v>10</v>
      </c>
      <c r="E8" s="7">
        <f t="shared" si="0"/>
        <v>0</v>
      </c>
      <c r="F8" s="8"/>
      <c r="G8" s="8"/>
      <c r="H8" s="9">
        <f t="shared" si="1"/>
        <v>0</v>
      </c>
      <c r="I8" s="9">
        <f t="shared" si="2"/>
        <v>0</v>
      </c>
      <c r="J8" s="5" t="s">
        <v>22</v>
      </c>
      <c r="K8" s="6"/>
      <c r="L8" s="5"/>
    </row>
    <row r="9" spans="1:12" x14ac:dyDescent="0.3">
      <c r="A9" s="5" t="s">
        <v>23</v>
      </c>
      <c r="B9" s="5" t="s">
        <v>24</v>
      </c>
      <c r="C9" s="6">
        <v>15</v>
      </c>
      <c r="D9" s="6">
        <v>15</v>
      </c>
      <c r="E9" s="7">
        <f t="shared" si="0"/>
        <v>0</v>
      </c>
      <c r="F9" s="8"/>
      <c r="G9" s="8"/>
      <c r="H9" s="9">
        <f t="shared" si="1"/>
        <v>0</v>
      </c>
      <c r="I9" s="9">
        <f t="shared" si="2"/>
        <v>0</v>
      </c>
      <c r="J9" s="5" t="s">
        <v>17</v>
      </c>
      <c r="K9" s="6"/>
      <c r="L9" s="5"/>
    </row>
    <row r="10" spans="1:12" x14ac:dyDescent="0.3">
      <c r="A10" s="5" t="s">
        <v>25</v>
      </c>
      <c r="B10" s="5" t="s">
        <v>26</v>
      </c>
      <c r="C10" s="6">
        <v>5</v>
      </c>
      <c r="D10" s="6">
        <v>5</v>
      </c>
      <c r="E10" s="7">
        <f t="shared" si="0"/>
        <v>0</v>
      </c>
      <c r="F10" s="8"/>
      <c r="G10" s="8"/>
      <c r="H10" s="9">
        <f t="shared" si="1"/>
        <v>0</v>
      </c>
      <c r="I10" s="9">
        <f t="shared" si="2"/>
        <v>0</v>
      </c>
      <c r="J10" s="5" t="s">
        <v>22</v>
      </c>
      <c r="K10" s="6"/>
      <c r="L10" s="5"/>
    </row>
    <row r="11" spans="1:12" ht="27.6" x14ac:dyDescent="0.3">
      <c r="A11" s="5" t="s">
        <v>27</v>
      </c>
      <c r="B11" s="5" t="s">
        <v>28</v>
      </c>
      <c r="C11" s="6">
        <v>10</v>
      </c>
      <c r="D11" s="6">
        <v>5</v>
      </c>
      <c r="E11" s="7">
        <f t="shared" si="0"/>
        <v>5</v>
      </c>
      <c r="F11" s="10">
        <v>20</v>
      </c>
      <c r="G11" s="10">
        <v>23</v>
      </c>
      <c r="H11" s="9">
        <f t="shared" si="1"/>
        <v>100</v>
      </c>
      <c r="I11" s="9">
        <f t="shared" si="2"/>
        <v>115</v>
      </c>
      <c r="J11" s="5" t="s">
        <v>29</v>
      </c>
      <c r="K11" s="11" t="s">
        <v>30</v>
      </c>
      <c r="L11" s="5" t="s">
        <v>31</v>
      </c>
    </row>
    <row r="12" spans="1:12" ht="27.6" x14ac:dyDescent="0.3">
      <c r="A12" s="5" t="s">
        <v>32</v>
      </c>
      <c r="B12" s="5" t="s">
        <v>33</v>
      </c>
      <c r="C12" s="6">
        <v>5</v>
      </c>
      <c r="D12" s="12"/>
      <c r="E12" s="7">
        <f t="shared" si="0"/>
        <v>5</v>
      </c>
      <c r="F12" s="10">
        <v>2</v>
      </c>
      <c r="G12" s="10">
        <v>4</v>
      </c>
      <c r="H12" s="9">
        <f t="shared" si="1"/>
        <v>10</v>
      </c>
      <c r="I12" s="9">
        <f t="shared" si="2"/>
        <v>20</v>
      </c>
      <c r="J12" s="5" t="s">
        <v>34</v>
      </c>
      <c r="K12" s="11" t="s">
        <v>35</v>
      </c>
      <c r="L12" s="5" t="s">
        <v>36</v>
      </c>
    </row>
    <row r="13" spans="1:12" x14ac:dyDescent="0.3">
      <c r="A13" s="5" t="s">
        <v>37</v>
      </c>
      <c r="B13" s="5" t="s">
        <v>38</v>
      </c>
      <c r="C13" s="6">
        <v>10</v>
      </c>
      <c r="D13" s="12"/>
      <c r="E13" s="7">
        <f t="shared" si="0"/>
        <v>10</v>
      </c>
      <c r="F13" s="10">
        <v>0.5</v>
      </c>
      <c r="G13" s="10">
        <v>1</v>
      </c>
      <c r="H13" s="9">
        <f t="shared" si="1"/>
        <v>5</v>
      </c>
      <c r="I13" s="9">
        <f t="shared" si="2"/>
        <v>10</v>
      </c>
      <c r="J13" s="5" t="s">
        <v>39</v>
      </c>
      <c r="K13" s="11" t="s">
        <v>40</v>
      </c>
      <c r="L13" s="5"/>
    </row>
    <row r="14" spans="1:12" ht="27.6" x14ac:dyDescent="0.3">
      <c r="A14" s="5" t="s">
        <v>41</v>
      </c>
      <c r="B14" s="5" t="s">
        <v>42</v>
      </c>
      <c r="C14" s="6">
        <v>6</v>
      </c>
      <c r="D14" s="6">
        <v>0</v>
      </c>
      <c r="E14" s="7">
        <f t="shared" si="0"/>
        <v>6</v>
      </c>
      <c r="F14" s="10">
        <v>1.5</v>
      </c>
      <c r="G14" s="10">
        <v>3</v>
      </c>
      <c r="H14" s="9">
        <f t="shared" si="1"/>
        <v>9</v>
      </c>
      <c r="I14" s="9">
        <f t="shared" si="2"/>
        <v>18</v>
      </c>
      <c r="J14" s="5" t="s">
        <v>43</v>
      </c>
      <c r="K14" s="11" t="s">
        <v>44</v>
      </c>
      <c r="L14" s="5" t="s">
        <v>45</v>
      </c>
    </row>
    <row r="15" spans="1:12" x14ac:dyDescent="0.3">
      <c r="A15" s="5" t="s">
        <v>46</v>
      </c>
      <c r="B15" s="5" t="s">
        <v>47</v>
      </c>
      <c r="C15" s="6">
        <v>20</v>
      </c>
      <c r="D15" s="12"/>
      <c r="E15" s="7">
        <f t="shared" si="0"/>
        <v>20</v>
      </c>
      <c r="F15" s="10">
        <v>2</v>
      </c>
      <c r="G15" s="10">
        <v>3</v>
      </c>
      <c r="H15" s="9">
        <f t="shared" si="1"/>
        <v>40</v>
      </c>
      <c r="I15" s="9">
        <f t="shared" si="2"/>
        <v>60</v>
      </c>
      <c r="J15" s="5" t="s">
        <v>39</v>
      </c>
      <c r="K15" s="11" t="s">
        <v>48</v>
      </c>
      <c r="L15" s="5" t="s">
        <v>49</v>
      </c>
    </row>
    <row r="16" spans="1:12" x14ac:dyDescent="0.3">
      <c r="A16" s="5" t="s">
        <v>50</v>
      </c>
      <c r="B16" s="5" t="s">
        <v>51</v>
      </c>
      <c r="C16" s="6">
        <v>10</v>
      </c>
      <c r="D16" s="12"/>
      <c r="E16" s="7">
        <f t="shared" si="0"/>
        <v>10</v>
      </c>
      <c r="F16" s="10">
        <v>0.3</v>
      </c>
      <c r="G16" s="10">
        <v>0.6</v>
      </c>
      <c r="H16" s="9">
        <f t="shared" si="1"/>
        <v>3</v>
      </c>
      <c r="I16" s="9">
        <f t="shared" si="2"/>
        <v>6</v>
      </c>
      <c r="J16" s="5" t="s">
        <v>43</v>
      </c>
      <c r="K16" s="11" t="s">
        <v>52</v>
      </c>
      <c r="L16" s="5" t="s">
        <v>53</v>
      </c>
    </row>
    <row r="17" spans="1:12" ht="27.6" x14ac:dyDescent="0.3">
      <c r="A17" s="5" t="s">
        <v>54</v>
      </c>
      <c r="B17" s="5" t="s">
        <v>55</v>
      </c>
      <c r="C17" s="6">
        <v>10</v>
      </c>
      <c r="D17" s="6">
        <v>0</v>
      </c>
      <c r="E17" s="7">
        <f t="shared" si="0"/>
        <v>10</v>
      </c>
      <c r="F17" s="10">
        <v>0.3</v>
      </c>
      <c r="G17" s="10">
        <v>0.5</v>
      </c>
      <c r="H17" s="9">
        <f t="shared" si="1"/>
        <v>3</v>
      </c>
      <c r="I17" s="9">
        <f t="shared" si="2"/>
        <v>5</v>
      </c>
      <c r="J17" s="5" t="s">
        <v>43</v>
      </c>
      <c r="K17" s="11" t="s">
        <v>56</v>
      </c>
      <c r="L17" s="5" t="s">
        <v>57</v>
      </c>
    </row>
    <row r="18" spans="1:12" ht="27.6" x14ac:dyDescent="0.3">
      <c r="A18" s="5" t="s">
        <v>58</v>
      </c>
      <c r="B18" s="5" t="s">
        <v>59</v>
      </c>
      <c r="C18" s="6">
        <v>3</v>
      </c>
      <c r="D18" s="12"/>
      <c r="E18" s="7">
        <f t="shared" si="0"/>
        <v>3</v>
      </c>
      <c r="F18" s="10">
        <v>3</v>
      </c>
      <c r="G18" s="10">
        <v>6</v>
      </c>
      <c r="H18" s="9">
        <f t="shared" si="1"/>
        <v>9</v>
      </c>
      <c r="I18" s="9">
        <f t="shared" si="2"/>
        <v>18</v>
      </c>
      <c r="J18" s="5" t="s">
        <v>60</v>
      </c>
      <c r="K18" s="11" t="s">
        <v>61</v>
      </c>
      <c r="L18" s="5" t="s">
        <v>62</v>
      </c>
    </row>
    <row r="19" spans="1:12" ht="27.6" x14ac:dyDescent="0.3">
      <c r="A19" s="5" t="s">
        <v>63</v>
      </c>
      <c r="B19" s="5" t="s">
        <v>64</v>
      </c>
      <c r="C19" s="6">
        <v>1</v>
      </c>
      <c r="D19" s="6">
        <v>1</v>
      </c>
      <c r="E19" s="7">
        <f t="shared" si="0"/>
        <v>0</v>
      </c>
      <c r="F19" s="10">
        <v>20</v>
      </c>
      <c r="G19" s="10">
        <v>25</v>
      </c>
      <c r="H19" s="9">
        <f t="shared" si="1"/>
        <v>0</v>
      </c>
      <c r="I19" s="9">
        <f t="shared" si="2"/>
        <v>0</v>
      </c>
      <c r="J19" s="5" t="s">
        <v>65</v>
      </c>
      <c r="K19" s="11" t="s">
        <v>66</v>
      </c>
      <c r="L19" s="5" t="s">
        <v>67</v>
      </c>
    </row>
    <row r="20" spans="1:12" ht="27.6" x14ac:dyDescent="0.3">
      <c r="A20" s="5" t="s">
        <v>68</v>
      </c>
      <c r="B20" s="5" t="s">
        <v>69</v>
      </c>
      <c r="C20" s="6">
        <v>1</v>
      </c>
      <c r="D20" s="12"/>
      <c r="E20" s="7">
        <f t="shared" si="0"/>
        <v>1</v>
      </c>
      <c r="F20" s="10">
        <v>10</v>
      </c>
      <c r="G20" s="10">
        <v>15</v>
      </c>
      <c r="H20" s="9">
        <f t="shared" si="1"/>
        <v>10</v>
      </c>
      <c r="I20" s="9">
        <f t="shared" si="2"/>
        <v>15</v>
      </c>
      <c r="J20" s="5" t="s">
        <v>70</v>
      </c>
      <c r="K20" s="11" t="s">
        <v>71</v>
      </c>
      <c r="L20" s="5"/>
    </row>
    <row r="21" spans="1:12" x14ac:dyDescent="0.3">
      <c r="A21" s="5" t="s">
        <v>72</v>
      </c>
      <c r="B21" s="5" t="s">
        <v>73</v>
      </c>
      <c r="C21" s="6">
        <v>1</v>
      </c>
      <c r="D21" s="12"/>
      <c r="E21" s="7">
        <f t="shared" si="0"/>
        <v>1</v>
      </c>
      <c r="F21" s="10">
        <v>3</v>
      </c>
      <c r="G21" s="10">
        <v>5</v>
      </c>
      <c r="H21" s="9">
        <f t="shared" si="1"/>
        <v>3</v>
      </c>
      <c r="I21" s="9">
        <f t="shared" si="2"/>
        <v>5</v>
      </c>
      <c r="J21" s="5" t="s">
        <v>39</v>
      </c>
      <c r="K21" s="11" t="s">
        <v>74</v>
      </c>
      <c r="L21" s="5"/>
    </row>
    <row r="22" spans="1:12" x14ac:dyDescent="0.3">
      <c r="A22" s="5" t="s">
        <v>75</v>
      </c>
      <c r="B22" s="5" t="s">
        <v>76</v>
      </c>
      <c r="C22" s="6">
        <v>5</v>
      </c>
      <c r="D22" s="12"/>
      <c r="E22" s="7">
        <f t="shared" si="0"/>
        <v>5</v>
      </c>
      <c r="F22" s="10">
        <v>2</v>
      </c>
      <c r="G22" s="10">
        <v>4</v>
      </c>
      <c r="H22" s="9">
        <f t="shared" si="1"/>
        <v>10</v>
      </c>
      <c r="I22" s="9">
        <f t="shared" si="2"/>
        <v>20</v>
      </c>
      <c r="J22" s="5" t="s">
        <v>77</v>
      </c>
      <c r="K22" s="11" t="s">
        <v>61</v>
      </c>
      <c r="L22" s="5"/>
    </row>
    <row r="23" spans="1:12" x14ac:dyDescent="0.3">
      <c r="A23" s="13" t="s">
        <v>78</v>
      </c>
      <c r="H23" s="14">
        <f>SUM(H6:H22)</f>
        <v>202</v>
      </c>
      <c r="I23" s="14">
        <f>SUM(I6:I22)</f>
        <v>292</v>
      </c>
    </row>
    <row r="25" spans="1:12" x14ac:dyDescent="0.3">
      <c r="A25" s="15" t="s">
        <v>79</v>
      </c>
    </row>
  </sheetData>
  <autoFilter ref="A5:L22" xr:uid="{00000000-0009-0000-0000-000000000000}"/>
  <hyperlinks>
    <hyperlink ref="K11" r:id="rId1" xr:uid="{00000000-0004-0000-0000-000000000000}"/>
    <hyperlink ref="K12" r:id="rId2" xr:uid="{00000000-0004-0000-0000-000001000000}"/>
    <hyperlink ref="K13" r:id="rId3" xr:uid="{00000000-0004-0000-0000-000002000000}"/>
    <hyperlink ref="K14" r:id="rId4" xr:uid="{00000000-0004-0000-0000-000003000000}"/>
    <hyperlink ref="K15" r:id="rId5" xr:uid="{00000000-0004-0000-0000-000004000000}"/>
    <hyperlink ref="K16" r:id="rId6" xr:uid="{00000000-0004-0000-0000-000005000000}"/>
    <hyperlink ref="K17" r:id="rId7" xr:uid="{00000000-0004-0000-0000-000006000000}"/>
    <hyperlink ref="K18" r:id="rId8" xr:uid="{00000000-0004-0000-0000-000007000000}"/>
    <hyperlink ref="K19" r:id="rId9" xr:uid="{00000000-0004-0000-0000-000008000000}"/>
    <hyperlink ref="K20" r:id="rId10" xr:uid="{00000000-0004-0000-0000-000009000000}"/>
    <hyperlink ref="K21" r:id="rId11" xr:uid="{00000000-0004-0000-0000-00000A000000}"/>
    <hyperlink ref="K22" r:id="rId12" xr:uid="{00000000-0004-0000-0000-00000B000000}"/>
  </hyperlinks>
  <pageMargins left="0.75" right="0.75" top="1" bottom="1" header="0.5" footer="0.5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34" customWidth="1"/>
    <col min="2" max="2" width="48" customWidth="1"/>
    <col min="3" max="3" width="11" customWidth="1"/>
    <col min="4" max="5" width="9" customWidth="1"/>
    <col min="6" max="7" width="13" customWidth="1"/>
    <col min="8" max="9" width="12" customWidth="1"/>
    <col min="10" max="10" width="26" customWidth="1"/>
    <col min="11" max="11" width="46" customWidth="1"/>
    <col min="12" max="12" width="44" customWidth="1"/>
  </cols>
  <sheetData>
    <row r="1" spans="1:12" ht="17.399999999999999" x14ac:dyDescent="0.3">
      <c r="A1" s="1" t="s">
        <v>80</v>
      </c>
    </row>
    <row r="2" spans="1:12" x14ac:dyDescent="0.3">
      <c r="A2" s="2" t="s">
        <v>81</v>
      </c>
    </row>
    <row r="3" spans="1:12" x14ac:dyDescent="0.3">
      <c r="A3" s="3" t="s">
        <v>2</v>
      </c>
    </row>
    <row r="5" spans="1:12" ht="31.95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ht="27.6" x14ac:dyDescent="0.3">
      <c r="A6" s="5" t="s">
        <v>82</v>
      </c>
      <c r="B6" s="5" t="s">
        <v>83</v>
      </c>
      <c r="C6" s="6">
        <v>12</v>
      </c>
      <c r="D6" s="6">
        <v>0</v>
      </c>
      <c r="E6" s="7">
        <f>MAX(0,C6-N(D6))</f>
        <v>12</v>
      </c>
      <c r="F6" s="10">
        <v>1.5</v>
      </c>
      <c r="G6" s="10">
        <v>4</v>
      </c>
      <c r="H6" s="9">
        <f>E6*N(F6)</f>
        <v>18</v>
      </c>
      <c r="I6" s="9">
        <f>E6*N(G6)</f>
        <v>48</v>
      </c>
      <c r="J6" s="5" t="s">
        <v>84</v>
      </c>
      <c r="K6" s="11" t="s">
        <v>85</v>
      </c>
      <c r="L6" s="5" t="s">
        <v>86</v>
      </c>
    </row>
    <row r="7" spans="1:12" x14ac:dyDescent="0.3">
      <c r="A7" s="5" t="s">
        <v>87</v>
      </c>
      <c r="B7" s="5" t="s">
        <v>88</v>
      </c>
      <c r="C7" s="6">
        <v>5</v>
      </c>
      <c r="D7" s="6">
        <v>0</v>
      </c>
      <c r="E7" s="7">
        <f>MAX(0,C7-N(D7))</f>
        <v>5</v>
      </c>
      <c r="F7" s="10">
        <v>0.3</v>
      </c>
      <c r="G7" s="10">
        <v>0.5</v>
      </c>
      <c r="H7" s="9">
        <f>E7*N(F7)</f>
        <v>1.5</v>
      </c>
      <c r="I7" s="9">
        <f>E7*N(G7)</f>
        <v>2.5</v>
      </c>
      <c r="J7" s="5" t="s">
        <v>43</v>
      </c>
      <c r="K7" s="11" t="s">
        <v>89</v>
      </c>
      <c r="L7" s="5"/>
    </row>
    <row r="8" spans="1:12" ht="27.6" x14ac:dyDescent="0.3">
      <c r="A8" s="5" t="s">
        <v>90</v>
      </c>
      <c r="B8" s="5" t="s">
        <v>91</v>
      </c>
      <c r="C8" s="6">
        <v>1</v>
      </c>
      <c r="D8" s="6">
        <v>0</v>
      </c>
      <c r="E8" s="7">
        <f>MAX(0,C8-N(D8))</f>
        <v>1</v>
      </c>
      <c r="F8" s="10">
        <v>12</v>
      </c>
      <c r="G8" s="10">
        <v>15</v>
      </c>
      <c r="H8" s="9">
        <f>E8*N(F8)</f>
        <v>12</v>
      </c>
      <c r="I8" s="9">
        <f>E8*N(G8)</f>
        <v>15</v>
      </c>
      <c r="J8" s="5" t="s">
        <v>92</v>
      </c>
      <c r="K8" s="11" t="s">
        <v>93</v>
      </c>
      <c r="L8" s="5" t="s">
        <v>94</v>
      </c>
    </row>
    <row r="9" spans="1:12" x14ac:dyDescent="0.3">
      <c r="A9" s="13" t="s">
        <v>78</v>
      </c>
      <c r="H9" s="14">
        <f>SUM(H6:H8)</f>
        <v>31.5</v>
      </c>
      <c r="I9" s="14">
        <f>SUM(I6:I8)</f>
        <v>65.5</v>
      </c>
    </row>
    <row r="11" spans="1:12" x14ac:dyDescent="0.3">
      <c r="A11" s="15" t="s">
        <v>79</v>
      </c>
    </row>
  </sheetData>
  <autoFilter ref="A5:L8" xr:uid="{00000000-0009-0000-0000-000001000000}"/>
  <hyperlinks>
    <hyperlink ref="K6" r:id="rId1" xr:uid="{00000000-0004-0000-0100-000000000000}"/>
    <hyperlink ref="K7" r:id="rId2" xr:uid="{00000000-0004-0000-0100-000001000000}"/>
    <hyperlink ref="K8" r:id="rId3" xr:uid="{00000000-0004-0000-0100-00000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8.88671875" defaultRowHeight="14.4" x14ac:dyDescent="0.3"/>
  <cols>
    <col min="1" max="1" width="40" customWidth="1"/>
    <col min="2" max="3" width="14" customWidth="1"/>
  </cols>
  <sheetData>
    <row r="1" spans="1:3" x14ac:dyDescent="0.3">
      <c r="A1" s="16" t="s">
        <v>95</v>
      </c>
      <c r="B1" s="16" t="s">
        <v>96</v>
      </c>
      <c r="C1" s="16" t="s">
        <v>97</v>
      </c>
    </row>
    <row r="2" spans="1:3" x14ac:dyDescent="0.3">
      <c r="A2" s="17" t="s">
        <v>98</v>
      </c>
      <c r="B2" s="18">
        <f>'Pla A (3 servos)'!H23</f>
        <v>202</v>
      </c>
      <c r="C2" s="18">
        <f>'Pla A (3 servos)'!I23</f>
        <v>292</v>
      </c>
    </row>
    <row r="3" spans="1:3" x14ac:dyDescent="0.3">
      <c r="A3" s="17" t="s">
        <v>99</v>
      </c>
      <c r="B3" s="18">
        <f>'Pla B MeArm (extra)'!H9</f>
        <v>31.5</v>
      </c>
      <c r="C3" s="18">
        <f>'Pla B MeArm (extra)'!I9</f>
        <v>65.5</v>
      </c>
    </row>
    <row r="4" spans="1:3" x14ac:dyDescent="0.3">
      <c r="A4" s="13" t="s">
        <v>100</v>
      </c>
      <c r="B4" s="19">
        <f>B2+B3</f>
        <v>233.5</v>
      </c>
      <c r="C4" s="19">
        <f>C2+C3</f>
        <v>357.5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 A (3 servos)</vt:lpstr>
      <vt:lpstr>Pla B MeArm (extra)</vt:lpstr>
      <vt:lpstr>Resum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Riera Forteza, Bartomeu</cp:lastModifiedBy>
  <dcterms:created xsi:type="dcterms:W3CDTF">2026-10-26T14:52:14Z</dcterms:created>
  <dcterms:modified xsi:type="dcterms:W3CDTF">2026-10-26T15:16:34Z</dcterms:modified>
</cp:coreProperties>
</file>